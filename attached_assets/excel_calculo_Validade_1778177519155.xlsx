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itech\Desktop\"/>
    </mc:Choice>
  </mc:AlternateContent>
  <xr:revisionPtr revIDLastSave="0" documentId="13_ncr:1_{025D0489-150E-450D-8178-B8EAFC90E0C3}" xr6:coauthVersionLast="47" xr6:coauthVersionMax="47" xr10:uidLastSave="{00000000-0000-0000-0000-000000000000}"/>
  <bookViews>
    <workbookView xWindow="-108" yWindow="-108" windowWidth="23256" windowHeight="12456" xr2:uid="{A06531DC-5438-4162-9F51-8173F96CA108}"/>
  </bookViews>
  <sheets>
    <sheet name="Planilha Calculo validade  (2)" sheetId="4" r:id="rId1"/>
    <sheet name="Planilha Calculo validade orig 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K8" i="4" s="1"/>
  <c r="G4" i="4"/>
  <c r="G3" i="4"/>
  <c r="J17" i="1"/>
  <c r="L18" i="1" s="1"/>
  <c r="G8" i="1"/>
  <c r="G3" i="1"/>
  <c r="G4" i="1"/>
  <c r="K8" i="1" s="1"/>
  <c r="K3" i="4" l="1"/>
  <c r="M3" i="4" s="1"/>
  <c r="M8" i="4" s="1"/>
  <c r="K3" i="1"/>
  <c r="M3" i="1" s="1"/>
  <c r="M8" i="1" s="1"/>
</calcChain>
</file>

<file path=xl/sharedStrings.xml><?xml version="1.0" encoding="utf-8"?>
<sst xmlns="http://schemas.openxmlformats.org/spreadsheetml/2006/main" count="57" uniqueCount="18">
  <si>
    <t>l1</t>
  </si>
  <si>
    <t>l2</t>
  </si>
  <si>
    <t>l3</t>
  </si>
  <si>
    <t>0 mês</t>
  </si>
  <si>
    <t>3 mês</t>
  </si>
  <si>
    <t>6 mês</t>
  </si>
  <si>
    <t>ln</t>
  </si>
  <si>
    <t>k</t>
  </si>
  <si>
    <t>tempo</t>
  </si>
  <si>
    <t>Média 3 meses</t>
  </si>
  <si>
    <t>Média 6 meses</t>
  </si>
  <si>
    <t>Média 0 mês</t>
  </si>
  <si>
    <t>Cálculo de k</t>
  </si>
  <si>
    <t>Cálculo Tempo</t>
  </si>
  <si>
    <t>ln(log natura)</t>
  </si>
  <si>
    <t>ln do 80/99,77</t>
  </si>
  <si>
    <t xml:space="preserve">k de cima </t>
  </si>
  <si>
    <t>degrad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</si>
</sst>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EE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10" fontId="1" fillId="0" borderId="1" xfId="0" applyNumberFormat="1" applyFont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0" xfId="0" applyAlignment="1">
      <alignment horizontal="center"/>
    </xf>
    <xf numFmtId="9" fontId="0" fillId="0" borderId="0" xfId="0" applyNumberFormat="1"/>
    <xf numFmtId="10" fontId="3" fillId="0" borderId="1" xfId="0" applyNumberFormat="1" applyFont="1" applyBorder="1" applyAlignment="1">
      <alignment horizontal="center" vertical="center" wrapText="1"/>
    </xf>
    <xf numFmtId="10" fontId="3" fillId="2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733425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68B74B-C1FE-414D-8D2F-9DE6DE3D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920" y="381000"/>
          <a:ext cx="733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200026</xdr:colOff>
      <xdr:row>9</xdr:row>
      <xdr:rowOff>0</xdr:rowOff>
    </xdr:from>
    <xdr:to>
      <xdr:col>12</xdr:col>
      <xdr:colOff>518482</xdr:colOff>
      <xdr:row>11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A961C4-02DC-4B48-B042-15100650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6" y="1714500"/>
          <a:ext cx="1537656" cy="42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733425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24232B-23E1-7B8E-D6C8-FA6B7AEA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00050"/>
          <a:ext cx="733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200026</xdr:colOff>
      <xdr:row>9</xdr:row>
      <xdr:rowOff>0</xdr:rowOff>
    </xdr:from>
    <xdr:to>
      <xdr:col>12</xdr:col>
      <xdr:colOff>518482</xdr:colOff>
      <xdr:row>11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2B19C3-7EA0-B37F-1488-F8748C242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1" y="1800225"/>
          <a:ext cx="1537656" cy="438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8</xdr:col>
      <xdr:colOff>45720</xdr:colOff>
      <xdr:row>18</xdr:row>
      <xdr:rowOff>106680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4BB240B-3100-16C4-A47A-27F0E4D5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740" y="3009900"/>
          <a:ext cx="14859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8</xdr:col>
      <xdr:colOff>502920</xdr:colOff>
      <xdr:row>22</xdr:row>
      <xdr:rowOff>160020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34A4563-3174-7CEE-99B1-F4EE4A1F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5340" y="3924300"/>
          <a:ext cx="1333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B28C-245D-4939-8393-03A148F68EF2}">
  <dimension ref="B1:M16"/>
  <sheetViews>
    <sheetView tabSelected="1" workbookViewId="0">
      <selection activeCell="C2" sqref="C2:C10"/>
    </sheetView>
  </sheetViews>
  <sheetFormatPr defaultRowHeight="14.4" x14ac:dyDescent="0.3"/>
  <cols>
    <col min="6" max="6" width="14.109375" bestFit="1" customWidth="1"/>
    <col min="8" max="8" width="12.109375" bestFit="1" customWidth="1"/>
    <col min="9" max="9" width="12.109375" customWidth="1"/>
    <col min="10" max="10" width="25.109375" customWidth="1"/>
    <col min="13" max="13" width="17.77734375" customWidth="1"/>
  </cols>
  <sheetData>
    <row r="1" spans="2:13" ht="15" thickBot="1" x14ac:dyDescent="0.35"/>
    <row r="2" spans="2:13" ht="15" thickBot="1" x14ac:dyDescent="0.35">
      <c r="B2" t="s">
        <v>0</v>
      </c>
      <c r="C2" s="23">
        <v>1.0012000000000001</v>
      </c>
      <c r="D2" t="s">
        <v>3</v>
      </c>
      <c r="I2" s="7" t="s">
        <v>12</v>
      </c>
      <c r="J2" s="8"/>
      <c r="K2" s="9" t="s">
        <v>14</v>
      </c>
      <c r="L2" s="9"/>
      <c r="M2" s="10" t="s">
        <v>7</v>
      </c>
    </row>
    <row r="3" spans="2:13" ht="15" thickBot="1" x14ac:dyDescent="0.35">
      <c r="B3" t="s">
        <v>0</v>
      </c>
      <c r="C3" s="24">
        <v>0.99409999999999998</v>
      </c>
      <c r="D3" t="s">
        <v>4</v>
      </c>
      <c r="F3" t="s">
        <v>9</v>
      </c>
      <c r="G3" s="1">
        <f>AVERAGE(C3,C6,C9)</f>
        <v>0.99486666666666679</v>
      </c>
      <c r="I3" s="11"/>
      <c r="J3" s="12"/>
      <c r="K3" s="13">
        <f>-LN(G4/G3)</f>
        <v>9.493422586636123E-3</v>
      </c>
      <c r="L3" s="13"/>
      <c r="M3" s="14">
        <f>K3/3</f>
        <v>3.1644741955453742E-3</v>
      </c>
    </row>
    <row r="4" spans="2:13" ht="15" thickBot="1" x14ac:dyDescent="0.35">
      <c r="B4" t="s">
        <v>0</v>
      </c>
      <c r="C4" s="25">
        <v>0.98550000000000004</v>
      </c>
      <c r="D4" t="s">
        <v>5</v>
      </c>
      <c r="F4" t="s">
        <v>10</v>
      </c>
      <c r="G4" s="1">
        <f>AVERAGE(C4,C7,C10)</f>
        <v>0.9854666666666666</v>
      </c>
      <c r="I4" s="6"/>
      <c r="K4" s="5"/>
      <c r="L4" s="5"/>
      <c r="M4" s="5"/>
    </row>
    <row r="5" spans="2:13" ht="15" thickBot="1" x14ac:dyDescent="0.35">
      <c r="B5" t="s">
        <v>1</v>
      </c>
      <c r="C5" s="24">
        <v>1.0008999999999999</v>
      </c>
      <c r="D5" t="s">
        <v>3</v>
      </c>
      <c r="K5" s="15"/>
      <c r="L5" s="9"/>
      <c r="M5" s="10"/>
    </row>
    <row r="6" spans="2:13" ht="15" thickBot="1" x14ac:dyDescent="0.35">
      <c r="B6" t="s">
        <v>1</v>
      </c>
      <c r="C6" s="25">
        <v>0.99460000000000004</v>
      </c>
      <c r="D6" t="s">
        <v>4</v>
      </c>
      <c r="K6" s="16"/>
      <c r="L6" s="5" t="s">
        <v>13</v>
      </c>
      <c r="M6" s="17"/>
    </row>
    <row r="7" spans="2:13" ht="15" thickBot="1" x14ac:dyDescent="0.35">
      <c r="B7" t="s">
        <v>1</v>
      </c>
      <c r="C7" s="24">
        <v>0.9859</v>
      </c>
      <c r="D7" t="s">
        <v>5</v>
      </c>
      <c r="K7" s="16" t="s">
        <v>6</v>
      </c>
      <c r="L7" s="5"/>
      <c r="M7" s="17" t="s">
        <v>8</v>
      </c>
    </row>
    <row r="8" spans="2:13" ht="15" thickBot="1" x14ac:dyDescent="0.35">
      <c r="B8" t="s">
        <v>2</v>
      </c>
      <c r="C8" s="25">
        <v>1.0015000000000001</v>
      </c>
      <c r="D8" t="s">
        <v>3</v>
      </c>
      <c r="F8" t="s">
        <v>11</v>
      </c>
      <c r="G8" s="1">
        <f>AVERAGE(C2,C5,C8)</f>
        <v>1.0012000000000001</v>
      </c>
      <c r="K8" s="16">
        <f>-LN(G10/G8)</f>
        <v>0.22434283188969192</v>
      </c>
      <c r="L8" s="5"/>
      <c r="M8" s="17">
        <f>K8/M3</f>
        <v>70.894189058485296</v>
      </c>
    </row>
    <row r="9" spans="2:13" ht="15" thickBot="1" x14ac:dyDescent="0.35">
      <c r="B9" t="s">
        <v>2</v>
      </c>
      <c r="C9" s="24">
        <v>0.99590000000000001</v>
      </c>
      <c r="D9" t="s">
        <v>4</v>
      </c>
      <c r="K9" s="18"/>
      <c r="M9" s="19"/>
    </row>
    <row r="10" spans="2:13" ht="15" thickBot="1" x14ac:dyDescent="0.35">
      <c r="B10" t="s">
        <v>2</v>
      </c>
      <c r="C10" s="25">
        <v>0.98499999999999999</v>
      </c>
      <c r="D10" t="s">
        <v>5</v>
      </c>
      <c r="F10" t="s">
        <v>17</v>
      </c>
      <c r="G10" s="22">
        <v>0.8</v>
      </c>
      <c r="K10" s="18"/>
      <c r="M10" s="19"/>
    </row>
    <row r="11" spans="2:13" x14ac:dyDescent="0.3">
      <c r="K11" s="18"/>
      <c r="M11" s="19"/>
    </row>
    <row r="12" spans="2:13" ht="15" thickBot="1" x14ac:dyDescent="0.35">
      <c r="K12" s="11"/>
      <c r="L12" s="12"/>
      <c r="M12" s="20"/>
    </row>
    <row r="16" spans="2:13" x14ac:dyDescent="0.3">
      <c r="J16" s="21"/>
      <c r="L16" s="2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CBCA-9324-4286-82BE-AD7C300B0C9E}">
  <dimension ref="B1:M23"/>
  <sheetViews>
    <sheetView workbookViewId="0">
      <selection activeCell="F26" sqref="F26"/>
    </sheetView>
  </sheetViews>
  <sheetFormatPr defaultRowHeight="14.4" x14ac:dyDescent="0.3"/>
  <cols>
    <col min="6" max="6" width="14.109375" bestFit="1" customWidth="1"/>
    <col min="8" max="8" width="12.109375" bestFit="1" customWidth="1"/>
    <col min="9" max="9" width="12.109375" customWidth="1"/>
  </cols>
  <sheetData>
    <row r="1" spans="2:13" ht="15" thickBot="1" x14ac:dyDescent="0.35"/>
    <row r="2" spans="2:13" ht="15" thickBot="1" x14ac:dyDescent="0.35">
      <c r="B2" t="s">
        <v>0</v>
      </c>
      <c r="C2" s="2">
        <v>0.999</v>
      </c>
      <c r="D2" t="s">
        <v>3</v>
      </c>
      <c r="I2" s="7" t="s">
        <v>12</v>
      </c>
      <c r="J2" s="8"/>
      <c r="K2" s="9" t="s">
        <v>14</v>
      </c>
      <c r="L2" s="9"/>
      <c r="M2" s="10" t="s">
        <v>7</v>
      </c>
    </row>
    <row r="3" spans="2:13" ht="15" thickBot="1" x14ac:dyDescent="0.35">
      <c r="B3" t="s">
        <v>0</v>
      </c>
      <c r="C3" s="3">
        <v>0.95499999999999996</v>
      </c>
      <c r="D3" t="s">
        <v>4</v>
      </c>
      <c r="F3" t="s">
        <v>9</v>
      </c>
      <c r="G3" s="1">
        <f>AVERAGE(C3,C6,C9)</f>
        <v>0.95366666666666655</v>
      </c>
      <c r="I3" s="11"/>
      <c r="J3" s="12"/>
      <c r="K3" s="13">
        <f>-LN(G4/G3)</f>
        <v>8.0716353301220657E-3</v>
      </c>
      <c r="L3" s="13"/>
      <c r="M3" s="14">
        <f>K3/3</f>
        <v>2.6905451100406887E-3</v>
      </c>
    </row>
    <row r="4" spans="2:13" ht="15" thickBot="1" x14ac:dyDescent="0.35">
      <c r="B4" t="s">
        <v>0</v>
      </c>
      <c r="C4" s="4">
        <v>0.94499999999999995</v>
      </c>
      <c r="D4" t="s">
        <v>5</v>
      </c>
      <c r="F4" t="s">
        <v>10</v>
      </c>
      <c r="G4" s="1">
        <f>AVERAGE(C4,C7,C10)</f>
        <v>0.94600000000000006</v>
      </c>
      <c r="I4" s="6"/>
      <c r="K4" s="5"/>
      <c r="L4" s="5"/>
      <c r="M4" s="5"/>
    </row>
    <row r="5" spans="2:13" ht="15" thickBot="1" x14ac:dyDescent="0.35">
      <c r="B5" t="s">
        <v>1</v>
      </c>
      <c r="C5" s="3">
        <v>0.997</v>
      </c>
      <c r="D5" t="s">
        <v>3</v>
      </c>
      <c r="K5" s="15"/>
      <c r="L5" s="9"/>
      <c r="M5" s="10"/>
    </row>
    <row r="6" spans="2:13" ht="15" thickBot="1" x14ac:dyDescent="0.35">
      <c r="B6" t="s">
        <v>1</v>
      </c>
      <c r="C6" s="4">
        <v>0.95299999999999996</v>
      </c>
      <c r="D6" t="s">
        <v>4</v>
      </c>
      <c r="K6" s="16"/>
      <c r="L6" s="5" t="s">
        <v>13</v>
      </c>
      <c r="M6" s="17"/>
    </row>
    <row r="7" spans="2:13" ht="15" thickBot="1" x14ac:dyDescent="0.35">
      <c r="B7" t="s">
        <v>1</v>
      </c>
      <c r="C7" s="3">
        <v>0.94499999999999995</v>
      </c>
      <c r="D7" t="s">
        <v>5</v>
      </c>
      <c r="K7" s="16" t="s">
        <v>6</v>
      </c>
      <c r="L7" s="5"/>
      <c r="M7" s="17" t="s">
        <v>8</v>
      </c>
    </row>
    <row r="8" spans="2:13" ht="15" thickBot="1" x14ac:dyDescent="0.35">
      <c r="B8" t="s">
        <v>2</v>
      </c>
      <c r="C8" s="4">
        <v>0.998</v>
      </c>
      <c r="D8" t="s">
        <v>3</v>
      </c>
      <c r="F8" t="s">
        <v>11</v>
      </c>
      <c r="G8" s="1">
        <f>AVERAGE(C2,C5,C8)</f>
        <v>0.99799999999999989</v>
      </c>
      <c r="K8" s="16">
        <f>-LN(G4/G8)</f>
        <v>5.3510707259585517E-2</v>
      </c>
      <c r="L8" s="5"/>
      <c r="M8" s="17">
        <f>K8/M3</f>
        <v>19.888425977283198</v>
      </c>
    </row>
    <row r="9" spans="2:13" ht="15" thickBot="1" x14ac:dyDescent="0.35">
      <c r="B9" t="s">
        <v>2</v>
      </c>
      <c r="C9" s="3">
        <v>0.95299999999999996</v>
      </c>
      <c r="D9" t="s">
        <v>4</v>
      </c>
      <c r="K9" s="18"/>
      <c r="M9" s="19"/>
    </row>
    <row r="10" spans="2:13" ht="15" thickBot="1" x14ac:dyDescent="0.35">
      <c r="B10" t="s">
        <v>2</v>
      </c>
      <c r="C10" s="4">
        <v>0.94799999999999995</v>
      </c>
      <c r="D10" t="s">
        <v>5</v>
      </c>
      <c r="K10" s="18"/>
      <c r="M10" s="19"/>
    </row>
    <row r="11" spans="2:13" x14ac:dyDescent="0.3">
      <c r="K11" s="18"/>
      <c r="M11" s="19"/>
    </row>
    <row r="12" spans="2:13" ht="15" thickBot="1" x14ac:dyDescent="0.35">
      <c r="K12" s="11"/>
      <c r="L12" s="12"/>
      <c r="M12" s="20"/>
    </row>
    <row r="17" spans="10:12" x14ac:dyDescent="0.3">
      <c r="J17">
        <f>-LN(80/99.77)</f>
        <v>0.22084090225153408</v>
      </c>
      <c r="L17">
        <v>7.1000000000000004E-3</v>
      </c>
    </row>
    <row r="18" spans="10:12" x14ac:dyDescent="0.3">
      <c r="L18">
        <f>J17/L17</f>
        <v>31.104352429793529</v>
      </c>
    </row>
    <row r="22" spans="10:12" x14ac:dyDescent="0.3">
      <c r="J22" t="s">
        <v>15</v>
      </c>
    </row>
    <row r="23" spans="10:12" x14ac:dyDescent="0.3">
      <c r="J23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Calculo validade  (2)</vt:lpstr>
      <vt:lpstr>Planilha Calculo validade orig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de Oliveira Zaldguer CPF</dc:creator>
  <cp:lastModifiedBy>Oitech</cp:lastModifiedBy>
  <dcterms:created xsi:type="dcterms:W3CDTF">2025-03-26T22:45:28Z</dcterms:created>
  <dcterms:modified xsi:type="dcterms:W3CDTF">2026-04-09T20:13:38Z</dcterms:modified>
</cp:coreProperties>
</file>